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ATASCIENCE (DSG1023)\EXCEL\EXCEL Techmind\"/>
    </mc:Choice>
  </mc:AlternateContent>
  <xr:revisionPtr revIDLastSave="0" documentId="13_ncr:1_{3A50981D-D36D-4613-A4B1-88D05A454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nc8J9M6guGv/ii0tXd3iLYk57X+9103XNhg4VQEBJe0="/>
    </ext>
  </extLst>
</workbook>
</file>

<file path=xl/calcChain.xml><?xml version="1.0" encoding="utf-8"?>
<calcChain xmlns="http://schemas.openxmlformats.org/spreadsheetml/2006/main">
  <c r="C34" i="1" l="1"/>
  <c r="C43" i="2"/>
  <c r="B36" i="2"/>
  <c r="B44" i="2" l="1"/>
  <c r="B35" i="1" l="1"/>
  <c r="D35" i="1" s="1"/>
  <c r="C35" i="1"/>
  <c r="D44" i="2" l="1"/>
  <c r="C44" i="2"/>
  <c r="B34" i="1"/>
  <c r="D34" i="1"/>
  <c r="E34" i="1"/>
  <c r="C30" i="3"/>
  <c r="B43" i="2"/>
  <c r="D43" i="2"/>
  <c r="E43" i="2"/>
  <c r="A30" i="3"/>
  <c r="B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tc={B31CF385-5CC9-4257-A4E9-6541BBEB38A5}</author>
    <author>tc={B710B5B7-7ECD-4CF3-A6B0-771D9D4B9066}</author>
  </authors>
  <commentList>
    <comment ref="C34" authorId="0" shapeId="0" xr:uid="{B31CF385-5CC9-4257-A4E9-6541BBEB38A5}">
      <text>
        <t>[Threaded comment]
Your version of Excel allows you to read this threaded comment; however, any edits to it will get removed if the file is opened in a newer version of Excel. Learn more: https://go.microsoft.com/fwlink/?linkid=870924
Comment:
    I used the if statement here so, when user will enter different car type then cab/per day price will also change simultaneously
suppose here , user take input as innova than price will be change  to 2100</t>
      </text>
    </comment>
    <comment ref="C35" authorId="1" shapeId="0" xr:uid="{B710B5B7-7ECD-4CF3-A6B0-771D9D4B9066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also I used if statement but its based on date from july to dec. so price will change accordingly.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tc={046F7EC5-31B7-4CCD-9B10-B70B8CD670DB}</author>
    <author>tc={5B8B981A-3F66-4B46-B851-302D5949DF67}</author>
  </authors>
  <commentList>
    <comment ref="C43" authorId="0" shapeId="0" xr:uid="{046F7EC5-31B7-4CCD-9B10-B70B8CD670DB}">
      <text>
        <t>[Threaded comment]
Your version of Excel allows you to read this threaded comment; however, any edits to it will get removed if the file is opened in a newer version of Excel. Learn more: https://go.microsoft.com/fwlink/?linkid=870924
Comment:
    I’m using if statement so when user will change the input price will also change according to table2</t>
      </text>
    </comment>
    <comment ref="C44" authorId="1" shapeId="0" xr:uid="{5B8B981A-3F66-4B46-B851-302D5949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also I used if statement but here I also include the date from july to dec so it will change price according to date and when condition will not match it will take  previous output as a current price</t>
      </text>
    </comment>
  </commentList>
</comments>
</file>

<file path=xl/sharedStrings.xml><?xml version="1.0" encoding="utf-8"?>
<sst xmlns="http://schemas.openxmlformats.org/spreadsheetml/2006/main" count="144" uniqueCount="54">
  <si>
    <t xml:space="preserve">In this Project you need to prepare a calculator which can be used in such a way that whenever you give certain inputs you will get a 
calculated price which can be precisely given to customers for payment or they can summarize their travel expenditure when they are planning.
</t>
  </si>
  <si>
    <t>Table 1</t>
  </si>
  <si>
    <t>Cab type</t>
  </si>
  <si>
    <t>Validity Start</t>
  </si>
  <si>
    <t>Validity End</t>
  </si>
  <si>
    <t>Price per day</t>
  </si>
  <si>
    <t>Swift Dzire</t>
  </si>
  <si>
    <t>Innova</t>
  </si>
  <si>
    <t>Ertiga</t>
  </si>
  <si>
    <t>Input Table</t>
  </si>
  <si>
    <t>Car Type</t>
  </si>
  <si>
    <t>Total Cab Day</t>
  </si>
  <si>
    <t>Cab/day Price</t>
  </si>
  <si>
    <t>Total Price for Cab</t>
  </si>
  <si>
    <t>Final cab price</t>
  </si>
  <si>
    <t>Trip Start Date</t>
  </si>
  <si>
    <t>jan to apr</t>
  </si>
  <si>
    <t>Trip End Date</t>
  </si>
  <si>
    <t>apr to dec</t>
  </si>
  <si>
    <t>No. of Cabs</t>
  </si>
  <si>
    <t>Sample 1</t>
  </si>
  <si>
    <t>Questions</t>
  </si>
  <si>
    <t>1. Write scripts in each of the cell in table below such that whenever you push inputs in input table you will
get output like in sample 1 ?</t>
  </si>
  <si>
    <t>Write your script here</t>
  </si>
  <si>
    <t>Table 2</t>
  </si>
  <si>
    <t>Hotel Name</t>
  </si>
  <si>
    <t>Room Name</t>
  </si>
  <si>
    <t>Radisson</t>
  </si>
  <si>
    <t>Standard</t>
  </si>
  <si>
    <t>Deluxe</t>
  </si>
  <si>
    <t>Taj</t>
  </si>
  <si>
    <t>Hotel/ Room Name</t>
  </si>
  <si>
    <t>Total Room Day</t>
  </si>
  <si>
    <t>Room/day Price</t>
  </si>
  <si>
    <t>Total Price for 
Room</t>
  </si>
  <si>
    <t>Final Room price</t>
  </si>
  <si>
    <t>Taj Deluxe</t>
  </si>
  <si>
    <t>Sample 2</t>
  </si>
  <si>
    <t>No. of Rooms</t>
  </si>
  <si>
    <t xml:space="preserve">2.  Write a script  to get name of Hotel and Room such that whenever you give inputs in input table
 you will get output like in sample 1?  </t>
  </si>
  <si>
    <t>3. Write scripts in each of the cell in table below such that whenever you push inputs in input table you 
will get output like in sample 2 ?</t>
  </si>
  <si>
    <t>jan to june</t>
  </si>
  <si>
    <t>july to dec</t>
  </si>
  <si>
    <t>Final Product - 
Calculator:No need to give any input
here. You need to extract values 
from sheet1 and sheet 2
 as in your question 6.</t>
  </si>
  <si>
    <t>Question 4. Use HLOOKUP to get Final Room price and Final Cab Price?</t>
  </si>
  <si>
    <t>Write your Script Here ?</t>
  </si>
  <si>
    <t>Question 4. Find the total Calculated price ?</t>
  </si>
  <si>
    <t>Total Calculated price</t>
  </si>
  <si>
    <t>Questions 5. Use data validation drop down in input table(i.e :Text Input ) ?</t>
  </si>
  <si>
    <t>Questions 6. Automate all the sheets such like whenever you are changing any values in 
Input table in sheet 1 and sheet 2 have reflections in sheet 3 which is your end product ?(Hint: Use VLOOKUP and HLOOKUP)</t>
  </si>
  <si>
    <t>May to dec</t>
  </si>
  <si>
    <t># if user will take car type as Ertiga than per day price will show as Table1</t>
  </si>
  <si>
    <t>in place of price .</t>
  </si>
  <si>
    <t xml:space="preserve">  Write your script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</si>
</sst>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d&quot;-&quot;mmm&quot;-&quot;yyyy"/>
  </numFmts>
  <fonts count="1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  <font>
      <sz val="11"/>
      <color rgb="FFFFFFFF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" borderId="4" xfId="0" applyFont="1" applyFill="1" applyBorder="1" applyAlignment="1">
      <alignment wrapText="1"/>
    </xf>
    <xf numFmtId="164" fontId="4" fillId="2" borderId="4" xfId="0" applyNumberFormat="1" applyFont="1" applyFill="1" applyBorder="1" applyAlignment="1">
      <alignment wrapText="1"/>
    </xf>
    <xf numFmtId="0" fontId="5" fillId="0" borderId="4" xfId="0" applyFont="1" applyBorder="1"/>
    <xf numFmtId="164" fontId="6" fillId="0" borderId="4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7" fillId="2" borderId="5" xfId="0" applyFont="1" applyFill="1" applyBorder="1"/>
    <xf numFmtId="0" fontId="5" fillId="0" borderId="0" xfId="0" applyFont="1"/>
    <xf numFmtId="0" fontId="8" fillId="2" borderId="6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wrapText="1"/>
    </xf>
    <xf numFmtId="164" fontId="6" fillId="4" borderId="0" xfId="0" applyNumberFormat="1" applyFont="1" applyFill="1" applyAlignment="1">
      <alignment horizontal="right" wrapText="1"/>
    </xf>
    <xf numFmtId="0" fontId="6" fillId="5" borderId="5" xfId="0" applyFont="1" applyFill="1" applyBorder="1" applyAlignment="1">
      <alignment horizontal="right" wrapText="1"/>
    </xf>
    <xf numFmtId="0" fontId="6" fillId="5" borderId="9" xfId="0" applyFont="1" applyFill="1" applyBorder="1" applyAlignment="1">
      <alignment horizontal="right" wrapText="1"/>
    </xf>
    <xf numFmtId="0" fontId="6" fillId="6" borderId="4" xfId="0" applyFont="1" applyFill="1" applyBorder="1" applyAlignment="1">
      <alignment horizontal="right" wrapText="1"/>
    </xf>
    <xf numFmtId="0" fontId="6" fillId="3" borderId="6" xfId="0" applyFont="1" applyFill="1" applyBorder="1" applyAlignment="1">
      <alignment horizontal="right" wrapText="1"/>
    </xf>
    <xf numFmtId="0" fontId="7" fillId="2" borderId="10" xfId="0" applyFont="1" applyFill="1" applyBorder="1"/>
    <xf numFmtId="164" fontId="6" fillId="4" borderId="4" xfId="0" applyNumberFormat="1" applyFont="1" applyFill="1" applyBorder="1" applyAlignment="1">
      <alignment horizontal="right" wrapText="1"/>
    </xf>
    <xf numFmtId="15" fontId="5" fillId="4" borderId="6" xfId="0" applyNumberFormat="1" applyFont="1" applyFill="1" applyBorder="1"/>
    <xf numFmtId="15" fontId="5" fillId="3" borderId="6" xfId="0" applyNumberFormat="1" applyFont="1" applyFill="1" applyBorder="1"/>
    <xf numFmtId="165" fontId="8" fillId="2" borderId="11" xfId="0" applyNumberFormat="1" applyFont="1" applyFill="1" applyBorder="1" applyAlignment="1">
      <alignment wrapText="1"/>
    </xf>
    <xf numFmtId="3" fontId="6" fillId="4" borderId="4" xfId="0" applyNumberFormat="1" applyFont="1" applyFill="1" applyBorder="1" applyAlignment="1">
      <alignment horizontal="right" wrapText="1"/>
    </xf>
    <xf numFmtId="3" fontId="6" fillId="4" borderId="0" xfId="0" applyNumberFormat="1" applyFont="1" applyFill="1" applyAlignment="1">
      <alignment horizontal="right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4" fillId="2" borderId="6" xfId="0" applyFont="1" applyFill="1" applyBorder="1" applyAlignment="1">
      <alignment wrapText="1"/>
    </xf>
    <xf numFmtId="164" fontId="4" fillId="2" borderId="7" xfId="0" applyNumberFormat="1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5" fillId="0" borderId="16" xfId="0" applyFont="1" applyBorder="1"/>
    <xf numFmtId="15" fontId="6" fillId="0" borderId="15" xfId="0" applyNumberFormat="1" applyFont="1" applyBorder="1" applyAlignment="1">
      <alignment wrapText="1"/>
    </xf>
    <xf numFmtId="164" fontId="6" fillId="0" borderId="15" xfId="0" applyNumberFormat="1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0" fontId="7" fillId="2" borderId="4" xfId="0" applyFont="1" applyFill="1" applyBorder="1"/>
    <xf numFmtId="0" fontId="8" fillId="2" borderId="4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8" fillId="2" borderId="4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6" fillId="6" borderId="4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11" fillId="2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right" wrapText="1"/>
    </xf>
    <xf numFmtId="0" fontId="8" fillId="2" borderId="4" xfId="0" applyFont="1" applyFill="1" applyBorder="1" applyAlignment="1">
      <alignment wrapText="1"/>
    </xf>
    <xf numFmtId="15" fontId="5" fillId="4" borderId="0" xfId="0" applyNumberFormat="1" applyFont="1" applyFill="1"/>
    <xf numFmtId="165" fontId="8" fillId="3" borderId="17" xfId="0" applyNumberFormat="1" applyFont="1" applyFill="1" applyBorder="1" applyAlignment="1">
      <alignment wrapText="1"/>
    </xf>
    <xf numFmtId="3" fontId="6" fillId="3" borderId="0" xfId="0" applyNumberFormat="1" applyFont="1" applyFill="1" applyAlignment="1">
      <alignment horizontal="right" wrapText="1"/>
    </xf>
    <xf numFmtId="15" fontId="6" fillId="0" borderId="4" xfId="0" applyNumberFormat="1" applyFont="1" applyBorder="1" applyAlignment="1">
      <alignment wrapText="1"/>
    </xf>
    <xf numFmtId="0" fontId="13" fillId="3" borderId="6" xfId="0" applyFont="1" applyFill="1" applyBorder="1" applyAlignment="1">
      <alignment vertical="top"/>
    </xf>
    <xf numFmtId="0" fontId="5" fillId="3" borderId="6" xfId="0" applyFont="1" applyFill="1" applyBorder="1"/>
    <xf numFmtId="165" fontId="8" fillId="2" borderId="4" xfId="0" applyNumberFormat="1" applyFont="1" applyFill="1" applyBorder="1" applyAlignment="1">
      <alignment wrapText="1"/>
    </xf>
    <xf numFmtId="0" fontId="12" fillId="0" borderId="0" xfId="0" applyFont="1" applyAlignment="1">
      <alignment horizontal="center" vertical="center"/>
    </xf>
    <xf numFmtId="0" fontId="5" fillId="3" borderId="19" xfId="0" applyFont="1" applyFill="1" applyBorder="1"/>
    <xf numFmtId="0" fontId="8" fillId="3" borderId="6" xfId="0" applyFont="1" applyFill="1" applyBorder="1" applyAlignment="1">
      <alignment horizontal="center" wrapText="1"/>
    </xf>
    <xf numFmtId="0" fontId="5" fillId="3" borderId="8" xfId="0" applyFont="1" applyFill="1" applyBorder="1"/>
    <xf numFmtId="0" fontId="5" fillId="3" borderId="0" xfId="0" applyFont="1" applyFill="1"/>
    <xf numFmtId="0" fontId="8" fillId="3" borderId="20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vertical="top" wrapText="1"/>
    </xf>
    <xf numFmtId="0" fontId="6" fillId="3" borderId="20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right" wrapText="1"/>
    </xf>
    <xf numFmtId="0" fontId="5" fillId="3" borderId="21" xfId="0" applyFont="1" applyFill="1" applyBorder="1"/>
    <xf numFmtId="0" fontId="8" fillId="2" borderId="5" xfId="0" applyFont="1" applyFill="1" applyBorder="1" applyAlignment="1">
      <alignment wrapText="1"/>
    </xf>
    <xf numFmtId="0" fontId="6" fillId="7" borderId="4" xfId="0" applyFont="1" applyFill="1" applyBorder="1" applyAlignment="1">
      <alignment horizontal="right" wrapText="1"/>
    </xf>
    <xf numFmtId="0" fontId="6" fillId="3" borderId="0" xfId="0" applyFont="1" applyFill="1" applyAlignment="1">
      <alignment horizontal="right" wrapText="1"/>
    </xf>
    <xf numFmtId="0" fontId="8" fillId="3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14" fillId="0" borderId="0" xfId="0" applyFont="1"/>
    <xf numFmtId="0" fontId="0" fillId="8" borderId="0" xfId="0" applyFill="1"/>
    <xf numFmtId="1" fontId="6" fillId="5" borderId="9" xfId="0" applyNumberFormat="1" applyFont="1" applyFill="1" applyBorder="1" applyAlignment="1">
      <alignment horizontal="right" wrapText="1"/>
    </xf>
    <xf numFmtId="0" fontId="7" fillId="2" borderId="7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2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8" fillId="3" borderId="8" xfId="0" applyFont="1" applyFill="1" applyBorder="1" applyAlignment="1">
      <alignment horizontal="center" wrapText="1"/>
    </xf>
    <xf numFmtId="0" fontId="2" fillId="0" borderId="18" xfId="0" applyFont="1" applyBorder="1"/>
    <xf numFmtId="0" fontId="6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33</xdr:row>
      <xdr:rowOff>0</xdr:rowOff>
    </xdr:from>
    <xdr:ext cx="1152525" cy="219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8D6C9CB0-9FB6-458E-B9E7-0D822651D5C9}"/>
            </a:ext>
          </a:extLst>
        </xdr:cNvPr>
        <xdr:cNvSpPr/>
      </xdr:nvSpPr>
      <xdr:spPr>
        <a:xfrm>
          <a:off x="4557204" y="6591670"/>
          <a:ext cx="1152525" cy="219075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41</xdr:row>
      <xdr:rowOff>38100</xdr:rowOff>
    </xdr:from>
    <xdr:ext cx="857250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22138" y="3675225"/>
          <a:ext cx="847725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33</xdr:row>
      <xdr:rowOff>180975</xdr:rowOff>
    </xdr:from>
    <xdr:ext cx="857250" cy="2190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922138" y="3675225"/>
          <a:ext cx="847725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33</xdr:row>
      <xdr:rowOff>180975</xdr:rowOff>
    </xdr:from>
    <xdr:ext cx="1190625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55450" y="3675225"/>
          <a:ext cx="1181100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28</xdr:row>
      <xdr:rowOff>0</xdr:rowOff>
    </xdr:from>
    <xdr:ext cx="1238250" cy="219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731638" y="3675225"/>
          <a:ext cx="1228725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133350</xdr:colOff>
      <xdr:row>6</xdr:row>
      <xdr:rowOff>133350</xdr:rowOff>
    </xdr:from>
    <xdr:ext cx="723900" cy="295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988813" y="3637125"/>
          <a:ext cx="714375" cy="2857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85725</xdr:colOff>
      <xdr:row>18</xdr:row>
      <xdr:rowOff>314325</xdr:rowOff>
    </xdr:from>
    <xdr:ext cx="1647825" cy="2190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526850" y="3675225"/>
          <a:ext cx="1638300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telsaloni" id="{8EFA9921-EB9C-415A-B170-BB016DCCC073}" userId="S::patelsaloni@workspace365.pro::6d3a0482-22cf-44ae-acf3-6e9e01f7f10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4" dT="2024-08-20T10:19:57.02" personId="{8EFA9921-EB9C-415A-B170-BB016DCCC073}" id="{B31CF385-5CC9-4257-A4E9-6541BBEB38A5}">
    <text>I used the if statement here so, when user will enter different car type then cab/per day price will also change simultaneously
suppose here , user take input as innova than price will be change  to 2100</text>
  </threadedComment>
  <threadedComment ref="C35" dT="2024-08-20T10:22:41.93" personId="{8EFA9921-EB9C-415A-B170-BB016DCCC073}" id="{B710B5B7-7ECD-4CF3-A6B0-771D9D4B9066}">
    <text>Here also I used if statement but its based on date from july to dec. so price will change accordingly.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3" dT="2024-08-20T10:16:15.54" personId="{8EFA9921-EB9C-415A-B170-BB016DCCC073}" id="{046F7EC5-31B7-4CCD-9B10-B70B8CD670DB}">
    <text>I’m using if statement so when user will change the input price will also change according to table2</text>
  </threadedComment>
  <threadedComment ref="C44" dT="2024-08-20T10:18:09.20" personId="{8EFA9921-EB9C-415A-B170-BB016DCCC073}" id="{5B8B981A-3F66-4B46-B851-302D5949DF67}">
    <text>Here also I used if statement but here I also include the date from july to dec so it will change price according to date and when condition will not match it will take  previous output as a current price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4"/>
  <sheetViews>
    <sheetView showGridLines="0" tabSelected="1" zoomScale="108" zoomScaleNormal="103" workbookViewId="0">
      <selection activeCell="C23" sqref="C23"/>
    </sheetView>
  </sheetViews>
  <sheetFormatPr defaultColWidth="12.6640625" defaultRowHeight="15" customHeight="1" x14ac:dyDescent="0.25"/>
  <cols>
    <col min="4" max="4" width="16" customWidth="1"/>
    <col min="6" max="6" width="15.6640625" customWidth="1"/>
    <col min="7" max="7" width="16.6640625" customWidth="1"/>
    <col min="9" max="9" width="15.6640625" customWidth="1"/>
    <col min="13" max="26" width="8.6640625" hidden="1" customWidth="1"/>
  </cols>
  <sheetData>
    <row r="1" spans="1:12" ht="15.75" customHeight="1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5.75" customHeight="1" x14ac:dyDescent="0.25">
      <c r="A2" s="80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15.75" customHeight="1" x14ac:dyDescent="0.25">
      <c r="A3" s="80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5.75" customHeight="1" x14ac:dyDescent="0.25"/>
    <row r="5" spans="1:12" ht="15.75" customHeight="1" x14ac:dyDescent="0.25">
      <c r="A5" s="81" t="s">
        <v>1</v>
      </c>
      <c r="B5" s="79"/>
    </row>
    <row r="6" spans="1:12" ht="15.75" customHeight="1" x14ac:dyDescent="0.25">
      <c r="A6" s="80"/>
      <c r="B6" s="77"/>
    </row>
    <row r="7" spans="1:12" ht="15.75" customHeight="1" x14ac:dyDescent="0.25"/>
    <row r="8" spans="1:12" ht="15.75" customHeight="1" x14ac:dyDescent="0.3">
      <c r="A8" s="1" t="s">
        <v>2</v>
      </c>
      <c r="B8" s="2" t="s">
        <v>3</v>
      </c>
      <c r="C8" s="1" t="s">
        <v>4</v>
      </c>
      <c r="D8" s="1" t="s">
        <v>5</v>
      </c>
    </row>
    <row r="9" spans="1:12" ht="15.75" customHeight="1" x14ac:dyDescent="0.3">
      <c r="A9" s="3" t="s">
        <v>6</v>
      </c>
      <c r="B9" s="4">
        <v>44197</v>
      </c>
      <c r="C9" s="4">
        <v>44316</v>
      </c>
      <c r="D9" s="5">
        <v>1200</v>
      </c>
    </row>
    <row r="10" spans="1:12" ht="15.75" customHeight="1" x14ac:dyDescent="0.3">
      <c r="A10" s="3" t="s">
        <v>6</v>
      </c>
      <c r="B10" s="4">
        <v>44317</v>
      </c>
      <c r="C10" s="4">
        <v>44561</v>
      </c>
      <c r="D10" s="5">
        <v>1300</v>
      </c>
    </row>
    <row r="11" spans="1:12" ht="15.75" customHeight="1" x14ac:dyDescent="0.3">
      <c r="A11" s="3" t="s">
        <v>7</v>
      </c>
      <c r="B11" s="4">
        <v>44197</v>
      </c>
      <c r="C11" s="4">
        <v>44316</v>
      </c>
      <c r="D11" s="5">
        <v>2100</v>
      </c>
    </row>
    <row r="12" spans="1:12" ht="15.75" customHeight="1" x14ac:dyDescent="0.3">
      <c r="A12" s="3" t="s">
        <v>7</v>
      </c>
      <c r="B12" s="4">
        <v>44317</v>
      </c>
      <c r="C12" s="4">
        <v>44561</v>
      </c>
      <c r="D12" s="5">
        <v>2200</v>
      </c>
    </row>
    <row r="13" spans="1:12" ht="15.75" customHeight="1" x14ac:dyDescent="0.3">
      <c r="A13" s="3" t="s">
        <v>8</v>
      </c>
      <c r="B13" s="4">
        <v>44197</v>
      </c>
      <c r="C13" s="4">
        <v>44316</v>
      </c>
      <c r="D13" s="5">
        <v>2800</v>
      </c>
    </row>
    <row r="14" spans="1:12" ht="15.75" customHeight="1" x14ac:dyDescent="0.3">
      <c r="A14" s="3" t="s">
        <v>8</v>
      </c>
      <c r="B14" s="4">
        <v>44317</v>
      </c>
      <c r="C14" s="4">
        <v>44561</v>
      </c>
      <c r="D14" s="5">
        <v>3000</v>
      </c>
    </row>
    <row r="15" spans="1:12" ht="15.75" customHeight="1" x14ac:dyDescent="0.25"/>
    <row r="16" spans="1:12" ht="15.75" customHeight="1" x14ac:dyDescent="0.25"/>
    <row r="17" spans="1:14" ht="15.75" customHeight="1" x14ac:dyDescent="0.25"/>
    <row r="18" spans="1:14" ht="15.75" customHeight="1" x14ac:dyDescent="0.25">
      <c r="A18" s="82" t="s">
        <v>9</v>
      </c>
      <c r="B18" s="82"/>
    </row>
    <row r="19" spans="1:14" ht="15.75" customHeight="1" x14ac:dyDescent="0.25">
      <c r="A19" s="82"/>
      <c r="B19" s="82"/>
    </row>
    <row r="20" spans="1:14" ht="15.75" customHeight="1" x14ac:dyDescent="0.25">
      <c r="A20" s="6" t="s">
        <v>10</v>
      </c>
      <c r="B20" s="3" t="s">
        <v>6</v>
      </c>
      <c r="C20" s="7" t="s">
        <v>51</v>
      </c>
      <c r="I20" s="8" t="s">
        <v>11</v>
      </c>
      <c r="J20" s="9" t="s">
        <v>12</v>
      </c>
      <c r="K20" s="10" t="s">
        <v>13</v>
      </c>
      <c r="L20" s="11" t="s">
        <v>14</v>
      </c>
      <c r="N20" s="12"/>
    </row>
    <row r="21" spans="1:14" ht="15.75" customHeight="1" x14ac:dyDescent="0.3">
      <c r="A21" s="13" t="s">
        <v>15</v>
      </c>
      <c r="B21" s="4">
        <v>44317</v>
      </c>
      <c r="C21" s="14"/>
      <c r="H21" s="8" t="s">
        <v>16</v>
      </c>
      <c r="I21" s="15">
        <v>352</v>
      </c>
      <c r="J21" s="16">
        <v>2800</v>
      </c>
      <c r="K21" s="16">
        <v>985600</v>
      </c>
      <c r="L21" s="17">
        <v>1255600</v>
      </c>
      <c r="N21" s="18"/>
    </row>
    <row r="22" spans="1:14" ht="15.75" customHeight="1" x14ac:dyDescent="0.3">
      <c r="A22" s="19" t="s">
        <v>17</v>
      </c>
      <c r="B22" s="4">
        <v>44561</v>
      </c>
      <c r="C22" s="14"/>
      <c r="H22" s="8" t="s">
        <v>18</v>
      </c>
      <c r="I22" s="15">
        <v>90</v>
      </c>
      <c r="J22" s="16">
        <v>3000</v>
      </c>
      <c r="K22" s="16">
        <v>270000</v>
      </c>
      <c r="L22" s="21"/>
      <c r="N22" s="22"/>
    </row>
    <row r="23" spans="1:14" ht="15.75" customHeight="1" x14ac:dyDescent="0.3">
      <c r="A23" s="23" t="s">
        <v>19</v>
      </c>
      <c r="B23" s="24">
        <v>2</v>
      </c>
      <c r="C23" s="25"/>
      <c r="J23" s="26" t="s">
        <v>20</v>
      </c>
    </row>
    <row r="24" spans="1:14" ht="15.75" customHeight="1" x14ac:dyDescent="0.3">
      <c r="C24" s="25"/>
    </row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>
      <c r="B29" s="28"/>
    </row>
    <row r="30" spans="1:14" ht="15.75" customHeight="1" x14ac:dyDescent="0.25">
      <c r="A30" s="27" t="s">
        <v>21</v>
      </c>
      <c r="C30" s="28"/>
      <c r="D30" s="28"/>
      <c r="E30" s="28"/>
      <c r="F30" s="28"/>
    </row>
    <row r="31" spans="1:14" ht="15.75" customHeight="1" x14ac:dyDescent="0.25">
      <c r="A31" s="83" t="s">
        <v>22</v>
      </c>
      <c r="B31" s="77"/>
      <c r="C31" s="77"/>
      <c r="D31" s="77"/>
      <c r="E31" s="77"/>
      <c r="F31" s="77"/>
      <c r="G31" s="77"/>
    </row>
    <row r="32" spans="1:14" ht="15.75" customHeight="1" x14ac:dyDescent="0.25">
      <c r="A32" s="77"/>
      <c r="B32" s="77"/>
      <c r="C32" s="77"/>
      <c r="D32" s="77"/>
      <c r="E32" s="77"/>
      <c r="F32" s="77"/>
      <c r="G32" s="77"/>
    </row>
    <row r="33" spans="1:8" ht="15.75" customHeight="1" x14ac:dyDescent="0.25">
      <c r="B33" s="8" t="s">
        <v>11</v>
      </c>
      <c r="C33" s="9" t="s">
        <v>12</v>
      </c>
      <c r="D33" s="30" t="s">
        <v>13</v>
      </c>
      <c r="E33" s="10" t="s">
        <v>14</v>
      </c>
      <c r="F33" s="29"/>
    </row>
    <row r="34" spans="1:8" ht="15.75" customHeight="1" x14ac:dyDescent="0.3">
      <c r="A34" s="8" t="s">
        <v>16</v>
      </c>
      <c r="B34" s="15">
        <f ca="1">IF(AND(B21&lt;=DATE(2021,4,30),B22&gt;=DATE(2021,1,1)),DAYS360(MAX(B21,DATE(2021,1,1)),MIN(B22,DATE(2021,4,30))),B34)</f>
        <v>119</v>
      </c>
      <c r="C34" s="16">
        <f>IF(B20=A9,D9, IF(B20=A11,D11, IF(B20=A13,D13,C34)))</f>
        <v>1200</v>
      </c>
      <c r="D34" s="16">
        <f ca="1">B34*C34</f>
        <v>142800</v>
      </c>
      <c r="E34" s="17">
        <f ca="1">D34+D35*B23</f>
        <v>766800</v>
      </c>
      <c r="F34" s="29"/>
      <c r="G34" s="76" t="s">
        <v>53</v>
      </c>
      <c r="H34" s="77"/>
    </row>
    <row r="35" spans="1:8" ht="15.75" customHeight="1" x14ac:dyDescent="0.3">
      <c r="A35" s="8" t="s">
        <v>50</v>
      </c>
      <c r="B35" s="15">
        <f>IF(AND(B21&lt;=DATE(2021,12,31),B22&gt;=DATE(2021,5,1)), DAYS360(MAX(B21, DATE(2021,5,1)), MIN(B22, DATE(2021,12,31))), B35)</f>
        <v>240</v>
      </c>
      <c r="C35" s="16">
        <f>IF(AND(B20=A10,B21&lt;=DATE(2021,12,31),B22&gt;=DATE(2021,5,1)),D10,IF(AND(B20=A12,B21&lt;=DATE(2021,12,31),B22&gt;=DATE(2021,5,1)),D12,IF(AND(B20=A14,B21&lt;=DATE(2021,12,31),B22&gt;=DATE(2021,5,1)),D14, C35)))</f>
        <v>1300</v>
      </c>
      <c r="D35" s="16">
        <f>B35*C35</f>
        <v>312000</v>
      </c>
      <c r="E35" s="21"/>
      <c r="F35" s="31"/>
    </row>
    <row r="36" spans="1:8" ht="15.75" customHeight="1" x14ac:dyDescent="0.25">
      <c r="F36" s="31"/>
      <c r="G36" s="31"/>
    </row>
    <row r="37" spans="1:8" ht="15.75" customHeight="1" x14ac:dyDescent="0.25"/>
    <row r="38" spans="1:8" ht="15.75" customHeight="1" x14ac:dyDescent="0.25"/>
    <row r="39" spans="1:8" ht="15.75" customHeight="1" x14ac:dyDescent="0.25">
      <c r="C39" s="72"/>
    </row>
    <row r="40" spans="1:8" ht="15.75" hidden="1" customHeight="1" x14ac:dyDescent="0.25"/>
    <row r="41" spans="1:8" ht="15.75" hidden="1" customHeight="1" x14ac:dyDescent="0.25"/>
    <row r="42" spans="1:8" ht="15.75" hidden="1" customHeight="1" x14ac:dyDescent="0.25"/>
    <row r="43" spans="1:8" ht="15.75" hidden="1" customHeight="1" x14ac:dyDescent="0.25"/>
    <row r="44" spans="1:8" ht="15.75" hidden="1" customHeight="1" x14ac:dyDescent="0.25"/>
    <row r="45" spans="1:8" ht="15.75" hidden="1" customHeight="1" x14ac:dyDescent="0.25"/>
    <row r="46" spans="1:8" ht="15.75" hidden="1" customHeight="1" x14ac:dyDescent="0.25"/>
    <row r="47" spans="1:8" ht="15.75" hidden="1" customHeight="1" x14ac:dyDescent="0.25"/>
    <row r="48" spans="1: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spans="1:28" ht="15.75" hidden="1" customHeight="1" x14ac:dyDescent="0.25"/>
    <row r="994" spans="1:28" ht="15.75" hidden="1" customHeight="1" x14ac:dyDescent="0.25"/>
    <row r="995" spans="1:28" ht="15.75" hidden="1" customHeight="1" x14ac:dyDescent="0.25"/>
    <row r="996" spans="1:28" ht="15.75" hidden="1" customHeight="1" x14ac:dyDescent="0.25"/>
    <row r="997" spans="1:28" ht="15.75" hidden="1" customHeight="1" x14ac:dyDescent="0.25"/>
    <row r="998" spans="1:28" ht="15.75" hidden="1" customHeight="1" x14ac:dyDescent="0.25"/>
    <row r="999" spans="1:28" ht="15.75" hidden="1" customHeight="1" x14ac:dyDescent="0.25"/>
    <row r="1000" spans="1:28" ht="15.75" hidden="1" customHeight="1" x14ac:dyDescent="0.25"/>
    <row r="1001" spans="1:28" ht="15" customHeight="1" x14ac:dyDescent="0.25">
      <c r="C1001" s="72"/>
    </row>
    <row r="1002" spans="1:28" ht="15" customHeight="1" x14ac:dyDescent="0.25">
      <c r="A1002" s="73"/>
      <c r="B1002" s="73"/>
      <c r="C1002" s="73"/>
      <c r="D1002" s="73"/>
      <c r="E1002" s="73"/>
    </row>
    <row r="1003" spans="1:28" ht="15" customHeight="1" x14ac:dyDescent="0.25">
      <c r="C1003" s="72"/>
    </row>
    <row r="1004" spans="1:28" ht="15" customHeight="1" x14ac:dyDescent="0.25">
      <c r="C1004" s="72"/>
      <c r="AB1004" s="72" t="s">
        <v>52</v>
      </c>
    </row>
  </sheetData>
  <mergeCells count="5">
    <mergeCell ref="G34:H34"/>
    <mergeCell ref="A1:L3"/>
    <mergeCell ref="A5:B6"/>
    <mergeCell ref="A18:B19"/>
    <mergeCell ref="A31:G32"/>
  </mergeCells>
  <conditionalFormatting sqref="K16">
    <cfRule type="notContainsBlanks" dxfId="0" priority="1">
      <formula>LEN(TRIM(K16))&gt;0</formula>
    </cfRule>
  </conditionalFormatting>
  <dataValidations count="3">
    <dataValidation type="list" allowBlank="1" showDropDown="1" showInputMessage="1" prompt="Swift Dzire" sqref="A9:A14" xr:uid="{00000000-0002-0000-0000-000000000000}">
      <formula1>"Swift Dzire,Innova,Ertiga"</formula1>
    </dataValidation>
    <dataValidation type="list" allowBlank="1" showInputMessage="1" prompt="Swift Dzire" sqref="B20" xr:uid="{2EDD476F-5FB8-4A5A-8995-E29C0E5E91AB}">
      <formula1>$A$9:$A$14</formula1>
    </dataValidation>
    <dataValidation type="decimal" allowBlank="1" showInputMessage="1" showErrorMessage="1" errorTitle="Number Error" error="Enter Number between 1 to 10" sqref="B23" xr:uid="{9A77D80A-5993-4F67-B019-A3E7C4B2E15B}">
      <formula1>1</formula1>
      <formula2>10</formula2>
    </dataValidation>
  </dataValidation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opLeftCell="A22" zoomScale="84" zoomScaleNormal="105" workbookViewId="0">
      <selection activeCell="B22" sqref="B22"/>
    </sheetView>
  </sheetViews>
  <sheetFormatPr defaultColWidth="12.6640625" defaultRowHeight="15" customHeight="1" x14ac:dyDescent="0.25"/>
  <cols>
    <col min="2" max="2" width="16.44140625" customWidth="1"/>
    <col min="3" max="3" width="18.6640625" customWidth="1"/>
    <col min="4" max="4" width="23.33203125" customWidth="1"/>
    <col min="5" max="5" width="18.33203125" customWidth="1"/>
    <col min="10" max="10" width="11.6640625" customWidth="1"/>
    <col min="11" max="11" width="14" customWidth="1"/>
    <col min="13" max="26" width="8.6640625" hidden="1" customWidth="1"/>
  </cols>
  <sheetData>
    <row r="1" spans="1:12" ht="15.75" customHeight="1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5.75" customHeight="1" x14ac:dyDescent="0.25">
      <c r="A2" s="80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15.75" customHeight="1" x14ac:dyDescent="0.25">
      <c r="A3" s="80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5.75" customHeight="1" x14ac:dyDescent="0.25"/>
    <row r="5" spans="1:12" ht="15.75" customHeight="1" x14ac:dyDescent="0.25">
      <c r="A5" s="84" t="s">
        <v>24</v>
      </c>
      <c r="B5" s="85"/>
    </row>
    <row r="6" spans="1:12" ht="15.75" customHeight="1" x14ac:dyDescent="0.25">
      <c r="A6" s="86"/>
      <c r="B6" s="87"/>
    </row>
    <row r="7" spans="1:12" ht="15.75" customHeight="1" x14ac:dyDescent="0.25"/>
    <row r="8" spans="1:12" ht="15.75" customHeight="1" x14ac:dyDescent="0.3">
      <c r="A8" s="32" t="s">
        <v>25</v>
      </c>
      <c r="B8" s="33" t="s">
        <v>26</v>
      </c>
      <c r="C8" s="34" t="s">
        <v>3</v>
      </c>
      <c r="D8" s="34" t="s">
        <v>4</v>
      </c>
      <c r="E8" s="34" t="s">
        <v>5</v>
      </c>
    </row>
    <row r="9" spans="1:12" ht="15.75" customHeight="1" x14ac:dyDescent="0.3">
      <c r="A9" s="35" t="s">
        <v>27</v>
      </c>
      <c r="B9" s="36" t="s">
        <v>28</v>
      </c>
      <c r="C9" s="37">
        <v>44197</v>
      </c>
      <c r="D9" s="37">
        <v>44377</v>
      </c>
      <c r="E9" s="38">
        <v>4000</v>
      </c>
    </row>
    <row r="10" spans="1:12" ht="15.75" customHeight="1" x14ac:dyDescent="0.3">
      <c r="A10" s="35" t="s">
        <v>27</v>
      </c>
      <c r="B10" s="36" t="s">
        <v>29</v>
      </c>
      <c r="C10" s="37">
        <v>44197</v>
      </c>
      <c r="D10" s="37">
        <v>44377</v>
      </c>
      <c r="E10" s="38">
        <v>7000</v>
      </c>
    </row>
    <row r="11" spans="1:12" ht="15.75" customHeight="1" x14ac:dyDescent="0.3">
      <c r="A11" s="35" t="s">
        <v>27</v>
      </c>
      <c r="B11" s="36" t="s">
        <v>28</v>
      </c>
      <c r="C11" s="37">
        <v>44378</v>
      </c>
      <c r="D11" s="37">
        <v>44561</v>
      </c>
      <c r="E11" s="38">
        <v>4500</v>
      </c>
    </row>
    <row r="12" spans="1:12" ht="15.75" customHeight="1" x14ac:dyDescent="0.3">
      <c r="A12" s="35" t="s">
        <v>27</v>
      </c>
      <c r="B12" s="36" t="s">
        <v>29</v>
      </c>
      <c r="C12" s="37">
        <v>44378</v>
      </c>
      <c r="D12" s="37">
        <v>44561</v>
      </c>
      <c r="E12" s="38">
        <v>8000</v>
      </c>
    </row>
    <row r="13" spans="1:12" ht="15.75" customHeight="1" x14ac:dyDescent="0.3">
      <c r="A13" s="35" t="s">
        <v>30</v>
      </c>
      <c r="B13" s="36" t="s">
        <v>28</v>
      </c>
      <c r="C13" s="37">
        <v>44197</v>
      </c>
      <c r="D13" s="37">
        <v>44377</v>
      </c>
      <c r="E13" s="38">
        <v>6000</v>
      </c>
    </row>
    <row r="14" spans="1:12" ht="15.75" customHeight="1" x14ac:dyDescent="0.3">
      <c r="A14" s="35" t="s">
        <v>30</v>
      </c>
      <c r="B14" s="36" t="s">
        <v>29</v>
      </c>
      <c r="C14" s="37">
        <v>44197</v>
      </c>
      <c r="D14" s="37">
        <v>44377</v>
      </c>
      <c r="E14" s="38">
        <v>9000</v>
      </c>
    </row>
    <row r="15" spans="1:12" ht="15.75" customHeight="1" x14ac:dyDescent="0.3">
      <c r="A15" s="35" t="s">
        <v>30</v>
      </c>
      <c r="B15" s="36" t="s">
        <v>28</v>
      </c>
      <c r="C15" s="37">
        <v>44378</v>
      </c>
      <c r="D15" s="37">
        <v>44561</v>
      </c>
      <c r="E15" s="38">
        <v>6500</v>
      </c>
    </row>
    <row r="16" spans="1:12" ht="15.75" customHeight="1" x14ac:dyDescent="0.3">
      <c r="A16" s="35" t="s">
        <v>30</v>
      </c>
      <c r="B16" s="36" t="s">
        <v>29</v>
      </c>
      <c r="C16" s="37">
        <v>44378</v>
      </c>
      <c r="D16" s="37">
        <v>44561</v>
      </c>
      <c r="E16" s="38">
        <v>9500</v>
      </c>
    </row>
    <row r="17" spans="1:12" ht="15.75" customHeight="1" x14ac:dyDescent="0.25"/>
    <row r="18" spans="1:12" ht="15.75" customHeight="1" x14ac:dyDescent="0.25">
      <c r="A18" s="88" t="s">
        <v>9</v>
      </c>
      <c r="B18" s="79"/>
    </row>
    <row r="19" spans="1:12" ht="15.75" customHeight="1" x14ac:dyDescent="0.25">
      <c r="A19" s="80"/>
      <c r="B19" s="77"/>
    </row>
    <row r="20" spans="1:12" ht="15.75" customHeight="1" x14ac:dyDescent="0.3">
      <c r="A20" s="39" t="s">
        <v>25</v>
      </c>
      <c r="B20" s="35" t="s">
        <v>27</v>
      </c>
      <c r="C20" s="7"/>
      <c r="E20" s="40" t="s">
        <v>31</v>
      </c>
      <c r="F20" s="41"/>
      <c r="I20" s="42" t="s">
        <v>32</v>
      </c>
      <c r="J20" s="42" t="s">
        <v>33</v>
      </c>
      <c r="K20" s="11" t="s">
        <v>34</v>
      </c>
      <c r="L20" s="11" t="s">
        <v>35</v>
      </c>
    </row>
    <row r="21" spans="1:12" ht="15.75" customHeight="1" x14ac:dyDescent="0.3">
      <c r="A21" s="39" t="s">
        <v>26</v>
      </c>
      <c r="B21" s="37" t="s">
        <v>28</v>
      </c>
      <c r="C21" s="44"/>
      <c r="E21" s="45" t="s">
        <v>36</v>
      </c>
      <c r="F21" s="46"/>
      <c r="H21" s="47" t="s">
        <v>15</v>
      </c>
      <c r="I21" s="48">
        <v>168</v>
      </c>
      <c r="J21" s="48">
        <v>9000</v>
      </c>
      <c r="K21" s="48">
        <v>1512000</v>
      </c>
      <c r="L21" s="17">
        <v>1787500</v>
      </c>
    </row>
    <row r="22" spans="1:12" ht="15.75" customHeight="1" x14ac:dyDescent="0.3">
      <c r="A22" s="49" t="s">
        <v>15</v>
      </c>
      <c r="B22" s="37">
        <v>44378</v>
      </c>
      <c r="C22" s="14"/>
      <c r="E22" s="89" t="s">
        <v>20</v>
      </c>
      <c r="F22" s="77"/>
      <c r="H22" s="47" t="s">
        <v>17</v>
      </c>
      <c r="I22" s="48">
        <v>29</v>
      </c>
      <c r="J22" s="48">
        <v>9500</v>
      </c>
      <c r="K22" s="48">
        <v>275500</v>
      </c>
      <c r="L22" s="50"/>
    </row>
    <row r="23" spans="1:12" ht="15.75" customHeight="1" x14ac:dyDescent="0.3">
      <c r="A23" s="39" t="s">
        <v>17</v>
      </c>
      <c r="B23" s="37">
        <v>44561</v>
      </c>
      <c r="C23" s="14"/>
      <c r="J23" s="90" t="s">
        <v>37</v>
      </c>
      <c r="K23" s="77"/>
    </row>
    <row r="24" spans="1:12" ht="15.75" customHeight="1" x14ac:dyDescent="0.3">
      <c r="A24" s="39" t="s">
        <v>38</v>
      </c>
      <c r="B24" s="38">
        <v>2</v>
      </c>
      <c r="C24" s="25"/>
    </row>
    <row r="25" spans="1:12" ht="15.75" customHeight="1" x14ac:dyDescent="0.3">
      <c r="A25" s="51"/>
      <c r="B25" s="52"/>
      <c r="C25" s="25"/>
    </row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>
      <c r="A30" s="27" t="s">
        <v>21</v>
      </c>
    </row>
    <row r="31" spans="1:12" ht="15.75" customHeight="1" x14ac:dyDescent="0.25">
      <c r="A31" s="83" t="s">
        <v>39</v>
      </c>
      <c r="B31" s="77"/>
      <c r="C31" s="77"/>
      <c r="D31" s="77"/>
      <c r="E31" s="77"/>
      <c r="F31" s="77"/>
    </row>
    <row r="32" spans="1:12" ht="15.75" customHeight="1" x14ac:dyDescent="0.25">
      <c r="A32" s="77"/>
      <c r="B32" s="77"/>
      <c r="C32" s="77"/>
      <c r="D32" s="77"/>
      <c r="E32" s="77"/>
      <c r="F32" s="77"/>
    </row>
    <row r="33" spans="1:7" ht="15.75" customHeight="1" x14ac:dyDescent="0.25">
      <c r="A33" s="29"/>
      <c r="B33" s="29"/>
      <c r="C33" s="29"/>
      <c r="D33" s="29"/>
      <c r="E33" s="29"/>
      <c r="F33" s="29"/>
    </row>
    <row r="34" spans="1:7" ht="15.75" customHeight="1" x14ac:dyDescent="0.25">
      <c r="A34" s="29"/>
      <c r="B34" s="29"/>
      <c r="C34" s="29"/>
      <c r="D34" s="29"/>
      <c r="E34" s="29"/>
      <c r="F34" s="29"/>
    </row>
    <row r="35" spans="1:7" ht="15.75" customHeight="1" x14ac:dyDescent="0.3">
      <c r="B35" s="40" t="s">
        <v>31</v>
      </c>
      <c r="C35" s="41"/>
      <c r="D35" s="91" t="s">
        <v>23</v>
      </c>
      <c r="E35" s="77"/>
    </row>
    <row r="36" spans="1:7" ht="15.75" customHeight="1" x14ac:dyDescent="0.3">
      <c r="B36" s="45" t="str">
        <f>_xlfn.CONCAT(B20," ",B21)</f>
        <v>Radisson Standard</v>
      </c>
      <c r="C36" s="46"/>
    </row>
    <row r="37" spans="1:7" ht="15.75" customHeight="1" x14ac:dyDescent="0.25"/>
    <row r="38" spans="1:7" ht="15.75" customHeight="1" x14ac:dyDescent="0.25">
      <c r="A38" s="83" t="s">
        <v>40</v>
      </c>
      <c r="B38" s="77"/>
      <c r="C38" s="77"/>
      <c r="D38" s="77"/>
      <c r="E38" s="77"/>
      <c r="F38" s="77"/>
      <c r="G38" s="77"/>
    </row>
    <row r="39" spans="1:7" ht="15.75" customHeight="1" x14ac:dyDescent="0.25">
      <c r="A39" s="77"/>
      <c r="B39" s="77"/>
      <c r="C39" s="77"/>
      <c r="D39" s="77"/>
      <c r="E39" s="77"/>
      <c r="F39" s="77"/>
      <c r="G39" s="77"/>
    </row>
    <row r="40" spans="1:7" ht="15.75" customHeight="1" x14ac:dyDescent="0.25">
      <c r="A40" s="29"/>
      <c r="B40" s="29"/>
      <c r="C40" s="29"/>
      <c r="D40" s="29"/>
      <c r="E40" s="29"/>
      <c r="F40" s="29"/>
    </row>
    <row r="41" spans="1:7" ht="15.75" customHeight="1" x14ac:dyDescent="0.25">
      <c r="A41" s="29"/>
      <c r="B41" s="29"/>
      <c r="C41" s="29"/>
      <c r="D41" s="29"/>
      <c r="E41" s="29"/>
      <c r="F41" s="29"/>
    </row>
    <row r="42" spans="1:7" ht="15.75" customHeight="1" x14ac:dyDescent="0.25">
      <c r="B42" s="8" t="s">
        <v>32</v>
      </c>
      <c r="C42" s="9" t="s">
        <v>33</v>
      </c>
      <c r="D42" s="75" t="s">
        <v>34</v>
      </c>
      <c r="E42" s="11" t="s">
        <v>35</v>
      </c>
      <c r="F42" s="31"/>
      <c r="G42" s="71" t="s">
        <v>23</v>
      </c>
    </row>
    <row r="43" spans="1:7" ht="15.75" customHeight="1" x14ac:dyDescent="0.3">
      <c r="A43" s="8" t="s">
        <v>41</v>
      </c>
      <c r="B43" s="15">
        <f ca="1">IF(AND(B22&lt;=DATE(2021,6,30),B23&gt;=DATE(2021,1,1)),DAYS360(MAX(B22,DATE(2021,1,1)),MIN(B23,DATE(2021,6,30))),B43)</f>
        <v>179</v>
      </c>
      <c r="C43" s="15">
        <f>IF(AND( B20="Radisson",B21="Standard"),E9,IF(AND( B20="Radisson",B21="Deluxe"),E10,IF(AND( B20="Taj",B21="Standard"),E13,IF(AND(B20="Taj",B21="Deluxe"),E14,"wrong input"))))</f>
        <v>4000</v>
      </c>
      <c r="D43" s="15">
        <f ca="1">B43*C43</f>
        <v>716000</v>
      </c>
      <c r="E43" s="17">
        <f ca="1">D43+D44*B24</f>
        <v>2336000</v>
      </c>
      <c r="F43" s="31"/>
      <c r="G43" s="31"/>
    </row>
    <row r="44" spans="1:7" ht="15.75" customHeight="1" x14ac:dyDescent="0.3">
      <c r="A44" s="8" t="s">
        <v>42</v>
      </c>
      <c r="B44" s="15">
        <f>IF(AND(B22&lt;=DATE(2021,12,31),B23&gt;=DATE(2021,7,1)),DAYS360(MAX(B22,DATE(2021,7,1)),MIN(B23,DATE(2021,12,31))),B44)</f>
        <v>180</v>
      </c>
      <c r="C44" s="74">
        <f ca="1">IF(AND( B20="Radisson",B21="Standard",B22&gt;=DATE(2021,7,1),B22&lt; DATE(2021,12,31),B23&lt;= DATE(2021,12,31),B23&lt; DATE(2021,12,31)),E11,IF(AND( B20="Radisson",B21="Deluxe",B22&lt; DATE(2021,12,31),B23&lt;= DATE(2021,12,31),B23&lt; DATE(2021,12,31)),E12,IF(AND( B20="Taj",B21="Standard",B22&lt; DATE(2021,12,31),B23&lt;= DATE(2021,12,31),B23&lt; DATE(2021,12,31)),E14,IF(AND(B20="Taj",B21="Deluxe",B22&lt; DATE(2021,12,31),B23&lt;= DATE(2021,12,31),B23&lt; DATE(2021,12,31)),E15,C44))))</f>
        <v>4500</v>
      </c>
      <c r="D44" s="15">
        <f ca="1">B44*C44</f>
        <v>810000</v>
      </c>
      <c r="E44" s="21"/>
    </row>
    <row r="45" spans="1:7" ht="15.75" customHeight="1" x14ac:dyDescent="0.25"/>
    <row r="46" spans="1:7" ht="15.75" hidden="1" customHeight="1" x14ac:dyDescent="0.25"/>
    <row r="47" spans="1:7" ht="15.75" hidden="1" customHeight="1" x14ac:dyDescent="0.25"/>
    <row r="48" spans="1:7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</sheetData>
  <mergeCells count="8">
    <mergeCell ref="A38:G39"/>
    <mergeCell ref="A1:L3"/>
    <mergeCell ref="A5:B6"/>
    <mergeCell ref="A18:B19"/>
    <mergeCell ref="E22:F22"/>
    <mergeCell ref="J23:K23"/>
    <mergeCell ref="A31:F32"/>
    <mergeCell ref="D35:E35"/>
  </mergeCells>
  <dataValidations count="2">
    <dataValidation type="list" allowBlank="1" showInputMessage="1" showErrorMessage="1" sqref="B20" xr:uid="{480C0B8A-CA7F-45A1-8C9E-585E000908B5}">
      <formula1>$A$9:$A$16</formula1>
    </dataValidation>
    <dataValidation type="list" allowBlank="1" showInputMessage="1" showErrorMessage="1" sqref="B21" xr:uid="{908C9F8E-9ADA-4238-87C9-EE89DE809DBD}">
      <formula1>$B$9:$B$16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showGridLines="0" zoomScaleNormal="100" workbookViewId="0">
      <selection activeCell="C18" sqref="C18"/>
    </sheetView>
  </sheetViews>
  <sheetFormatPr defaultColWidth="12.6640625" defaultRowHeight="15" customHeight="1" x14ac:dyDescent="0.25"/>
  <cols>
    <col min="1" max="1" width="17.109375" customWidth="1"/>
    <col min="4" max="4" width="16.77734375" customWidth="1"/>
    <col min="5" max="5" width="17.77734375" customWidth="1"/>
    <col min="6" max="6" width="33.77734375" customWidth="1"/>
    <col min="7" max="7" width="14.6640625" customWidth="1"/>
    <col min="13" max="26" width="8.6640625" hidden="1" customWidth="1"/>
  </cols>
  <sheetData>
    <row r="1" spans="1:12" ht="15.75" customHeight="1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5.75" customHeight="1" x14ac:dyDescent="0.25">
      <c r="A2" s="80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15.75" customHeight="1" x14ac:dyDescent="0.25">
      <c r="A3" s="80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5.75" customHeight="1" x14ac:dyDescent="0.25"/>
    <row r="5" spans="1:12" ht="15.75" customHeight="1" x14ac:dyDescent="0.25">
      <c r="A5" s="81" t="s">
        <v>1</v>
      </c>
      <c r="B5" s="79"/>
      <c r="F5" s="93" t="s">
        <v>24</v>
      </c>
      <c r="G5" s="85"/>
    </row>
    <row r="6" spans="1:12" ht="15.75" customHeight="1" x14ac:dyDescent="0.25">
      <c r="A6" s="80"/>
      <c r="B6" s="77"/>
      <c r="F6" s="86"/>
      <c r="G6" s="87"/>
    </row>
    <row r="7" spans="1:12" ht="15.75" customHeight="1" x14ac:dyDescent="0.3">
      <c r="A7" s="1" t="s">
        <v>2</v>
      </c>
      <c r="B7" s="2" t="s">
        <v>3</v>
      </c>
      <c r="C7" s="1" t="s">
        <v>4</v>
      </c>
      <c r="D7" s="1" t="s">
        <v>5</v>
      </c>
      <c r="F7" s="1" t="s">
        <v>25</v>
      </c>
      <c r="G7" s="1" t="s">
        <v>26</v>
      </c>
      <c r="H7" s="1" t="s">
        <v>3</v>
      </c>
      <c r="I7" s="1" t="s">
        <v>4</v>
      </c>
      <c r="J7" s="1" t="s">
        <v>5</v>
      </c>
    </row>
    <row r="8" spans="1:12" ht="15.75" customHeight="1" x14ac:dyDescent="0.3">
      <c r="A8" s="3" t="s">
        <v>6</v>
      </c>
      <c r="B8" s="4">
        <v>44197</v>
      </c>
      <c r="C8" s="4">
        <v>44316</v>
      </c>
      <c r="D8" s="5">
        <v>1200</v>
      </c>
      <c r="F8" s="3" t="s">
        <v>27</v>
      </c>
      <c r="G8" s="53" t="s">
        <v>28</v>
      </c>
      <c r="H8" s="4">
        <v>44197</v>
      </c>
      <c r="I8" s="4">
        <v>44377</v>
      </c>
      <c r="J8" s="5">
        <v>4000</v>
      </c>
    </row>
    <row r="9" spans="1:12" ht="15.75" customHeight="1" x14ac:dyDescent="0.3">
      <c r="A9" s="3" t="s">
        <v>6</v>
      </c>
      <c r="B9" s="4">
        <v>44317</v>
      </c>
      <c r="C9" s="4">
        <v>44561</v>
      </c>
      <c r="D9" s="5">
        <v>1300</v>
      </c>
      <c r="F9" s="3" t="s">
        <v>27</v>
      </c>
      <c r="G9" s="53" t="s">
        <v>29</v>
      </c>
      <c r="H9" s="4">
        <v>44197</v>
      </c>
      <c r="I9" s="4">
        <v>44377</v>
      </c>
      <c r="J9" s="5">
        <v>7000</v>
      </c>
    </row>
    <row r="10" spans="1:12" ht="15.75" customHeight="1" x14ac:dyDescent="0.3">
      <c r="A10" s="3" t="s">
        <v>7</v>
      </c>
      <c r="B10" s="4">
        <v>44197</v>
      </c>
      <c r="C10" s="4">
        <v>44316</v>
      </c>
      <c r="D10" s="5">
        <v>2100</v>
      </c>
      <c r="F10" s="3" t="s">
        <v>27</v>
      </c>
      <c r="G10" s="53" t="s">
        <v>28</v>
      </c>
      <c r="H10" s="4">
        <v>44378</v>
      </c>
      <c r="I10" s="4">
        <v>44561</v>
      </c>
      <c r="J10" s="5">
        <v>4500</v>
      </c>
    </row>
    <row r="11" spans="1:12" ht="15.75" customHeight="1" x14ac:dyDescent="0.3">
      <c r="A11" s="3" t="s">
        <v>7</v>
      </c>
      <c r="B11" s="4">
        <v>44317</v>
      </c>
      <c r="C11" s="4">
        <v>44561</v>
      </c>
      <c r="D11" s="5">
        <v>2200</v>
      </c>
      <c r="F11" s="3" t="s">
        <v>27</v>
      </c>
      <c r="G11" s="53" t="s">
        <v>29</v>
      </c>
      <c r="H11" s="4">
        <v>44378</v>
      </c>
      <c r="I11" s="4">
        <v>44561</v>
      </c>
      <c r="J11" s="5">
        <v>8000</v>
      </c>
    </row>
    <row r="12" spans="1:12" ht="15.75" customHeight="1" x14ac:dyDescent="0.3">
      <c r="A12" s="3" t="s">
        <v>8</v>
      </c>
      <c r="B12" s="4">
        <v>44197</v>
      </c>
      <c r="C12" s="4">
        <v>44316</v>
      </c>
      <c r="D12" s="5">
        <v>2800</v>
      </c>
      <c r="F12" s="3" t="s">
        <v>30</v>
      </c>
      <c r="G12" s="53" t="s">
        <v>28</v>
      </c>
      <c r="H12" s="4">
        <v>44197</v>
      </c>
      <c r="I12" s="4">
        <v>44377</v>
      </c>
      <c r="J12" s="5">
        <v>6000</v>
      </c>
    </row>
    <row r="13" spans="1:12" ht="15.75" customHeight="1" x14ac:dyDescent="0.3">
      <c r="A13" s="3" t="s">
        <v>8</v>
      </c>
      <c r="B13" s="4">
        <v>44317</v>
      </c>
      <c r="C13" s="4">
        <v>44561</v>
      </c>
      <c r="D13" s="5">
        <v>3000</v>
      </c>
      <c r="F13" s="3" t="s">
        <v>30</v>
      </c>
      <c r="G13" s="53" t="s">
        <v>29</v>
      </c>
      <c r="H13" s="4">
        <v>44197</v>
      </c>
      <c r="I13" s="4">
        <v>44377</v>
      </c>
      <c r="J13" s="5">
        <v>9000</v>
      </c>
    </row>
    <row r="14" spans="1:12" ht="15.75" customHeight="1" x14ac:dyDescent="0.3">
      <c r="F14" s="3" t="s">
        <v>30</v>
      </c>
      <c r="G14" s="53" t="s">
        <v>28</v>
      </c>
      <c r="H14" s="4">
        <v>44378</v>
      </c>
      <c r="I14" s="4">
        <v>44561</v>
      </c>
      <c r="J14" s="5">
        <v>6500</v>
      </c>
    </row>
    <row r="15" spans="1:12" ht="15.75" customHeight="1" x14ac:dyDescent="0.3">
      <c r="F15" s="3" t="s">
        <v>30</v>
      </c>
      <c r="G15" s="53" t="s">
        <v>29</v>
      </c>
      <c r="H15" s="4">
        <v>44378</v>
      </c>
      <c r="I15" s="4">
        <v>44561</v>
      </c>
      <c r="J15" s="5">
        <v>9500</v>
      </c>
    </row>
    <row r="16" spans="1:12" ht="15.75" customHeight="1" x14ac:dyDescent="0.25">
      <c r="A16" s="88" t="s">
        <v>9</v>
      </c>
      <c r="B16" s="79"/>
    </row>
    <row r="17" spans="1:11" ht="15.75" customHeight="1" x14ac:dyDescent="0.25">
      <c r="A17" s="80"/>
      <c r="B17" s="77"/>
    </row>
    <row r="18" spans="1:11" ht="15.75" customHeight="1" x14ac:dyDescent="0.25">
      <c r="A18" s="39" t="s">
        <v>10</v>
      </c>
      <c r="B18" s="3" t="s">
        <v>7</v>
      </c>
      <c r="C18" s="7"/>
    </row>
    <row r="19" spans="1:11" ht="15.75" customHeight="1" x14ac:dyDescent="0.25">
      <c r="A19" s="39" t="s">
        <v>25</v>
      </c>
      <c r="B19" s="3" t="s">
        <v>27</v>
      </c>
      <c r="C19" s="7"/>
      <c r="E19" s="94" t="s">
        <v>43</v>
      </c>
      <c r="F19" s="77"/>
    </row>
    <row r="20" spans="1:11" ht="15.75" customHeight="1" x14ac:dyDescent="0.3">
      <c r="A20" s="39" t="s">
        <v>26</v>
      </c>
      <c r="B20" s="43" t="s">
        <v>28</v>
      </c>
      <c r="C20" s="44"/>
      <c r="E20" s="77"/>
      <c r="F20" s="77"/>
      <c r="H20" s="54"/>
      <c r="I20" s="12"/>
      <c r="J20" s="31"/>
      <c r="K20" s="31"/>
    </row>
    <row r="21" spans="1:11" ht="15.75" customHeight="1" x14ac:dyDescent="0.3">
      <c r="A21" s="49" t="s">
        <v>15</v>
      </c>
      <c r="B21" s="20">
        <v>44197</v>
      </c>
      <c r="C21" s="14"/>
      <c r="E21" s="77"/>
      <c r="F21" s="77"/>
      <c r="H21" s="18"/>
      <c r="I21" s="18"/>
      <c r="J21" s="31"/>
      <c r="K21" s="31"/>
    </row>
    <row r="22" spans="1:11" ht="15.75" customHeight="1" x14ac:dyDescent="0.3">
      <c r="A22" s="39" t="s">
        <v>17</v>
      </c>
      <c r="B22" s="20">
        <v>44377</v>
      </c>
      <c r="C22" s="14"/>
      <c r="E22" s="77"/>
      <c r="F22" s="77"/>
      <c r="G22" s="18"/>
      <c r="H22" s="18"/>
      <c r="I22" s="22"/>
    </row>
    <row r="23" spans="1:11" ht="15.75" customHeight="1" x14ac:dyDescent="0.3">
      <c r="A23" s="39" t="s">
        <v>38</v>
      </c>
      <c r="B23" s="24">
        <v>4</v>
      </c>
      <c r="C23" s="25"/>
      <c r="E23" s="77"/>
      <c r="F23" s="77"/>
      <c r="G23" s="55"/>
      <c r="H23" s="55"/>
      <c r="I23" s="55"/>
    </row>
    <row r="24" spans="1:11" ht="15.75" customHeight="1" x14ac:dyDescent="0.3">
      <c r="A24" s="56" t="s">
        <v>19</v>
      </c>
      <c r="B24" s="24">
        <v>5</v>
      </c>
      <c r="C24" s="25"/>
      <c r="E24" s="57"/>
      <c r="F24" s="57"/>
      <c r="G24" s="55"/>
      <c r="H24" s="55"/>
      <c r="I24" s="55"/>
    </row>
    <row r="25" spans="1:11" ht="15.75" customHeight="1" x14ac:dyDescent="0.3">
      <c r="F25" s="95"/>
      <c r="G25" s="96"/>
      <c r="H25" s="55"/>
      <c r="I25" s="58"/>
    </row>
    <row r="26" spans="1:11" ht="15.75" customHeight="1" x14ac:dyDescent="0.3">
      <c r="F26" s="59"/>
      <c r="G26" s="59"/>
      <c r="H26" s="60"/>
      <c r="I26" s="61"/>
    </row>
    <row r="27" spans="1:11" ht="15.75" customHeight="1" x14ac:dyDescent="0.3">
      <c r="A27" s="92" t="s">
        <v>44</v>
      </c>
      <c r="B27" s="77"/>
      <c r="C27" s="77"/>
      <c r="D27" s="77"/>
      <c r="E27" s="77"/>
      <c r="F27" s="59"/>
      <c r="G27" s="59"/>
      <c r="H27" s="60"/>
      <c r="I27" s="61"/>
    </row>
    <row r="28" spans="1:11" ht="15.75" customHeight="1" x14ac:dyDescent="0.3">
      <c r="A28" s="28"/>
      <c r="B28" s="28"/>
      <c r="C28" s="28"/>
      <c r="D28" s="28"/>
      <c r="E28" s="28"/>
      <c r="F28" s="41"/>
      <c r="G28" s="62"/>
      <c r="H28" s="60"/>
      <c r="I28" s="61"/>
    </row>
    <row r="29" spans="1:11" ht="15.75" customHeight="1" x14ac:dyDescent="0.3">
      <c r="A29" s="11" t="s">
        <v>35</v>
      </c>
      <c r="B29" s="63"/>
      <c r="C29" s="11" t="s">
        <v>14</v>
      </c>
      <c r="E29" s="90" t="s">
        <v>45</v>
      </c>
      <c r="F29" s="77"/>
      <c r="G29" s="64"/>
      <c r="H29" s="60"/>
      <c r="I29" s="61"/>
    </row>
    <row r="30" spans="1:11" ht="15.75" customHeight="1" x14ac:dyDescent="0.3">
      <c r="A30" s="17">
        <f ca="1">HLOOKUP(A29,Sheet2!A42:E44,2,FALSE)</f>
        <v>2336000</v>
      </c>
      <c r="B30" s="65"/>
      <c r="C30" s="17">
        <f ca="1">HLOOKUP(C29,Sheet1!A33:E35,2,FALSE)</f>
        <v>766800</v>
      </c>
      <c r="D30" s="29"/>
      <c r="H30" s="60"/>
      <c r="I30" s="61"/>
    </row>
    <row r="31" spans="1:11" ht="15.75" customHeight="1" x14ac:dyDescent="0.3">
      <c r="F31" s="62"/>
      <c r="G31" s="59"/>
      <c r="H31" s="60"/>
      <c r="I31" s="61"/>
    </row>
    <row r="32" spans="1:11" ht="15.75" customHeight="1" x14ac:dyDescent="0.3">
      <c r="F32" s="59"/>
      <c r="G32" s="59"/>
      <c r="H32" s="55"/>
      <c r="I32" s="66"/>
    </row>
    <row r="33" spans="1:12" ht="15.75" customHeight="1" x14ac:dyDescent="0.3">
      <c r="A33" s="91" t="s">
        <v>46</v>
      </c>
      <c r="B33" s="77"/>
      <c r="C33" s="77"/>
      <c r="F33" s="97"/>
      <c r="G33" s="96"/>
      <c r="H33" s="55"/>
      <c r="I33" s="55"/>
    </row>
    <row r="34" spans="1:12" ht="15.75" customHeight="1" x14ac:dyDescent="0.3">
      <c r="A34" s="27"/>
      <c r="B34" s="27"/>
      <c r="C34" s="27"/>
      <c r="F34" s="46"/>
      <c r="G34" s="46"/>
      <c r="H34" s="55"/>
      <c r="I34" s="55"/>
    </row>
    <row r="35" spans="1:12" ht="15.75" customHeight="1" x14ac:dyDescent="0.3">
      <c r="A35" s="67" t="s">
        <v>47</v>
      </c>
      <c r="B35" s="68">
        <f ca="1">SUM(A30+C30)</f>
        <v>3102800</v>
      </c>
      <c r="C35" s="69"/>
      <c r="D35" s="90" t="s">
        <v>45</v>
      </c>
      <c r="E35" s="77"/>
      <c r="F35" s="26"/>
      <c r="H35" s="55"/>
      <c r="I35" s="55"/>
    </row>
    <row r="36" spans="1:12" ht="15.75" customHeight="1" x14ac:dyDescent="0.25">
      <c r="F36" s="55"/>
      <c r="G36" s="55"/>
      <c r="H36" s="55"/>
      <c r="I36" s="55"/>
    </row>
    <row r="37" spans="1:12" ht="15.75" customHeight="1" x14ac:dyDescent="0.25">
      <c r="A37" s="92" t="s">
        <v>48</v>
      </c>
      <c r="B37" s="77"/>
      <c r="C37" s="77"/>
      <c r="D37" s="77"/>
      <c r="E37" s="77"/>
      <c r="F37" s="70"/>
      <c r="G37" s="70"/>
      <c r="H37" s="12"/>
      <c r="I37" s="12"/>
      <c r="J37" s="31"/>
      <c r="K37" s="31"/>
    </row>
    <row r="38" spans="1:12" ht="15.75" customHeight="1" x14ac:dyDescent="0.3">
      <c r="F38" s="18"/>
      <c r="G38" s="18"/>
      <c r="H38" s="18"/>
      <c r="I38" s="18"/>
      <c r="J38" s="31"/>
      <c r="K38" s="31"/>
    </row>
    <row r="39" spans="1:12" ht="15.75" customHeight="1" x14ac:dyDescent="0.25">
      <c r="A39" s="92" t="s">
        <v>49</v>
      </c>
      <c r="B39" s="77"/>
      <c r="C39" s="77"/>
      <c r="D39" s="77"/>
      <c r="E39" s="77"/>
      <c r="F39" s="77"/>
      <c r="G39" s="77"/>
      <c r="H39" s="77"/>
      <c r="I39" s="28"/>
      <c r="J39" s="28"/>
      <c r="K39" s="28"/>
      <c r="L39" s="28"/>
    </row>
    <row r="40" spans="1:12" ht="15.75" customHeight="1" x14ac:dyDescent="0.25">
      <c r="A40" s="77"/>
      <c r="B40" s="77"/>
      <c r="C40" s="77"/>
      <c r="D40" s="77"/>
      <c r="E40" s="77"/>
      <c r="F40" s="77"/>
      <c r="G40" s="77"/>
      <c r="H40" s="77"/>
    </row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13">
    <mergeCell ref="A39:H40"/>
    <mergeCell ref="A1:L3"/>
    <mergeCell ref="A5:B6"/>
    <mergeCell ref="F5:G6"/>
    <mergeCell ref="A16:B17"/>
    <mergeCell ref="E19:F23"/>
    <mergeCell ref="F25:G25"/>
    <mergeCell ref="A27:E27"/>
    <mergeCell ref="E29:F29"/>
    <mergeCell ref="A33:C33"/>
    <mergeCell ref="F33:G33"/>
    <mergeCell ref="D35:E35"/>
    <mergeCell ref="A37:E37"/>
  </mergeCells>
  <dataValidations count="3">
    <dataValidation type="list" allowBlank="1" showInputMessage="1" showErrorMessage="1" sqref="B18" xr:uid="{B3E97E5A-3597-4ABC-9980-D95AFEC80C45}">
      <formula1>$A$8:$A$13</formula1>
    </dataValidation>
    <dataValidation type="list" allowBlank="1" showInputMessage="1" showErrorMessage="1" sqref="B19" xr:uid="{0F5E901D-65E1-4DCC-9CEC-18DE7D630610}">
      <formula1>$F$8:$F$15</formula1>
    </dataValidation>
    <dataValidation type="list" allowBlank="1" showInputMessage="1" showErrorMessage="1" sqref="B20" xr:uid="{87F94EFA-C354-41C3-955E-8F85C639C0CE}">
      <formula1>$G$8:$G$15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patel</dc:creator>
  <cp:lastModifiedBy>patelsaloni</cp:lastModifiedBy>
  <dcterms:created xsi:type="dcterms:W3CDTF">2024-08-12T03:29:39Z</dcterms:created>
  <dcterms:modified xsi:type="dcterms:W3CDTF">2025-02-01T09:59:35Z</dcterms:modified>
</cp:coreProperties>
</file>